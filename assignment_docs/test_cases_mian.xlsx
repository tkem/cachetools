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<sst xmlns="http://schemas.openxmlformats.org/spreadsheetml/2006/main" count="114" uniqueCount="65">
  <si>
    <t xml:space="preserve">Test ID</t>
  </si>
  <si>
    <t xml:space="preserve">Class</t>
  </si>
  <si>
    <t xml:space="preserve">Description</t>
  </si>
  <si>
    <t xml:space="preserve">Operations (test data)</t>
  </si>
  <si>
    <t xml:space="preserve">maxsize</t>
  </si>
  <si>
    <t xml:space="preserve">Test data source</t>
  </si>
  <si>
    <t xml:space="preserve">Expected keys</t>
  </si>
  <si>
    <t xml:space="preserve">Expected currsize</t>
  </si>
  <si>
    <t xml:space="preserve">Expected error</t>
  </si>
  <si>
    <t xml:space="preserve">Actual keys</t>
  </si>
  <si>
    <t xml:space="preserve">Actual currsize</t>
  </si>
  <si>
    <t xml:space="preserve">Actual error</t>
  </si>
  <si>
    <t xml:space="preserve">Status</t>
  </si>
  <si>
    <t xml:space="preserve">M01</t>
  </si>
  <si>
    <t xml:space="preserve">LFUCache</t>
  </si>
  <si>
    <t xml:space="preserve">Read raises the use count so the unread key is evicted</t>
  </si>
  <si>
    <t xml:space="preserve">set:a;set:b;get:a;set:c</t>
  </si>
  <si>
    <t xml:space="preserve">assignment_tests/data/lfu_cases_mian.csv</t>
  </si>
  <si>
    <t xml:space="preserve">a|c</t>
  </si>
  <si>
    <t xml:space="preserve">none</t>
  </si>
  <si>
    <t xml:space="preserve">M02</t>
  </si>
  <si>
    <t xml:space="preserve">Overwrite counts as a use</t>
  </si>
  <si>
    <t xml:space="preserve">set:a;set:b;set:a;set:c</t>
  </si>
  <si>
    <t xml:space="preserve">M03</t>
  </si>
  <si>
    <t xml:space="preserve">maxsize 1 keeps only the latest key</t>
  </si>
  <si>
    <t xml:space="preserve">set:a;set:b</t>
  </si>
  <si>
    <t xml:space="preserve">b</t>
  </si>
  <si>
    <t xml:space="preserve">M04</t>
  </si>
  <si>
    <t xml:space="preserve">High-count key survives eviction</t>
  </si>
  <si>
    <t xml:space="preserve">set:a;get:a;get:a;set:b;set:c</t>
  </si>
  <si>
    <t xml:space="preserve">M05</t>
  </si>
  <si>
    <t xml:space="preserve">Delete frees capacity so nothing is evicted</t>
  </si>
  <si>
    <t xml:space="preserve">set:a;set:b;del:a;set:c</t>
  </si>
  <si>
    <t xml:space="preserve">b|c</t>
  </si>
  <si>
    <t xml:space="preserve">M06</t>
  </si>
  <si>
    <t xml:space="preserve">Reading a missing key raises KeyError</t>
  </si>
  <si>
    <t xml:space="preserve">set:a;get:zzz</t>
  </si>
  <si>
    <t xml:space="preserve">a</t>
  </si>
  <si>
    <t xml:space="preserve">KeyError</t>
  </si>
  <si>
    <t xml:space="preserve">M07</t>
  </si>
  <si>
    <t xml:space="preserve">maxsize 0 rejects any item</t>
  </si>
  <si>
    <t xml:space="preserve">set:a</t>
  </si>
  <si>
    <t xml:space="preserve">(empty)</t>
  </si>
  <si>
    <t xml:space="preserve">ValueError</t>
  </si>
  <si>
    <t xml:space="preserve">M08</t>
  </si>
  <si>
    <t xml:space="preserve">popitem removes the only key with the lowest count</t>
  </si>
  <si>
    <t xml:space="preserve">set:a;set:b;set:c;get:a;get:a;get:b;pop</t>
  </si>
  <si>
    <t xml:space="preserve">a|b</t>
  </si>
  <si>
    <t xml:space="preserve">M09</t>
  </si>
  <si>
    <t xml:space="preserve">popitem on an empty cache raises KeyError</t>
  </si>
  <si>
    <t xml:space="preserve">pop</t>
  </si>
  <si>
    <t xml:space="preserve">M10</t>
  </si>
  <si>
    <t xml:space="preserve">Deleting a missing key raises KeyError</t>
  </si>
  <si>
    <t xml:space="preserve">set:a;del:zzz</t>
  </si>
  <si>
    <t xml:space="preserve">Test case summary (Mian Dawood)</t>
  </si>
  <si>
    <t xml:space="preserve">Total test cases</t>
  </si>
  <si>
    <t xml:space="preserve">Passed</t>
  </si>
  <si>
    <t xml:space="preserve">Failed</t>
  </si>
  <si>
    <t xml:space="preserve">Pass rate</t>
  </si>
  <si>
    <t xml:space="preserve">Class under test: LFUCache (cachetools 7.2.4)</t>
  </si>
  <si>
    <t xml:space="preserve">Test data is read from the external file: assignment_tests/data/lfu_cases_mian.csv</t>
  </si>
  <si>
    <t xml:space="preserve">Automated by: assignment_tests/test_lfu_csv_mian.py</t>
  </si>
  <si>
    <t xml:space="preserve">Actual results come from running each CSV row against cachetools 7.2.4.</t>
  </si>
  <si>
    <t xml:space="preserve">To reproduce: run the pytest file named above with  pytest &lt;file&gt; -v</t>
  </si>
  <si>
    <t xml:space="preserve">Each step in 'Operations' is set:&lt;key&gt;, get:&lt;key&gt;, del:&lt;key&gt; or pop (every value is 1).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</si>
</sst>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36"/>
    <col collapsed="false" customWidth="true" hidden="false" outlineLevel="0" max="5" min="5" style="0" width="9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9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n">
        <v>2</v>
      </c>
      <c r="F2" s="2" t="s">
        <v>17</v>
      </c>
      <c r="G2" s="2" t="s">
        <v>18</v>
      </c>
      <c r="H2" s="2" t="n">
        <v>2</v>
      </c>
      <c r="I2" s="2" t="s">
        <v>19</v>
      </c>
      <c r="J2" s="2" t="s">
        <v>18</v>
      </c>
      <c r="K2" s="2" t="n">
        <v>2</v>
      </c>
      <c r="L2" s="2" t="s">
        <v>19</v>
      </c>
      <c r="M2" s="2" t="str">
        <f aca="false">IF(AND(G2=J2,H2=K2,I2=L2),"Pass","Fail")</f>
        <v>Pass</v>
      </c>
    </row>
    <row r="3" customFormat="false" ht="15" hidden="false" customHeight="false" outlineLevel="0" collapsed="false">
      <c r="A3" s="2" t="s">
        <v>20</v>
      </c>
      <c r="B3" s="2" t="s">
        <v>14</v>
      </c>
      <c r="C3" s="2" t="s">
        <v>21</v>
      </c>
      <c r="D3" s="2" t="s">
        <v>22</v>
      </c>
      <c r="E3" s="2" t="n">
        <v>2</v>
      </c>
      <c r="F3" s="2" t="s">
        <v>17</v>
      </c>
      <c r="G3" s="2" t="s">
        <v>18</v>
      </c>
      <c r="H3" s="2" t="n">
        <v>2</v>
      </c>
      <c r="I3" s="2" t="s">
        <v>19</v>
      </c>
      <c r="J3" s="2" t="s">
        <v>18</v>
      </c>
      <c r="K3" s="2" t="n">
        <v>2</v>
      </c>
      <c r="L3" s="2" t="s">
        <v>19</v>
      </c>
      <c r="M3" s="2" t="str">
        <f aca="false">IF(AND(G3=J3,H3=K3,I3=L3),"Pass","Fail")</f>
        <v>Pass</v>
      </c>
    </row>
    <row r="4" customFormat="false" ht="15" hidden="false" customHeight="false" outlineLevel="0" collapsed="false">
      <c r="A4" s="2" t="s">
        <v>23</v>
      </c>
      <c r="B4" s="2" t="s">
        <v>14</v>
      </c>
      <c r="C4" s="2" t="s">
        <v>24</v>
      </c>
      <c r="D4" s="2" t="s">
        <v>25</v>
      </c>
      <c r="E4" s="2" t="n">
        <v>1</v>
      </c>
      <c r="F4" s="2" t="s">
        <v>17</v>
      </c>
      <c r="G4" s="2" t="s">
        <v>26</v>
      </c>
      <c r="H4" s="2" t="n">
        <v>1</v>
      </c>
      <c r="I4" s="2" t="s">
        <v>19</v>
      </c>
      <c r="J4" s="2" t="s">
        <v>26</v>
      </c>
      <c r="K4" s="2" t="n">
        <v>1</v>
      </c>
      <c r="L4" s="2" t="s">
        <v>19</v>
      </c>
      <c r="M4" s="2" t="str">
        <f aca="false">IF(AND(G4=J4,H4=K4,I4=L4),"Pass","Fail")</f>
        <v>Pass</v>
      </c>
    </row>
    <row r="5" customFormat="false" ht="15" hidden="false" customHeight="false" outlineLevel="0" collapsed="false">
      <c r="A5" s="2" t="s">
        <v>27</v>
      </c>
      <c r="B5" s="2" t="s">
        <v>14</v>
      </c>
      <c r="C5" s="2" t="s">
        <v>28</v>
      </c>
      <c r="D5" s="2" t="s">
        <v>29</v>
      </c>
      <c r="E5" s="2" t="n">
        <v>2</v>
      </c>
      <c r="F5" s="2" t="s">
        <v>17</v>
      </c>
      <c r="G5" s="2" t="s">
        <v>18</v>
      </c>
      <c r="H5" s="2" t="n">
        <v>2</v>
      </c>
      <c r="I5" s="2" t="s">
        <v>19</v>
      </c>
      <c r="J5" s="2" t="s">
        <v>18</v>
      </c>
      <c r="K5" s="2" t="n">
        <v>2</v>
      </c>
      <c r="L5" s="2" t="s">
        <v>19</v>
      </c>
      <c r="M5" s="2" t="str">
        <f aca="false">IF(AND(G5=J5,H5=K5,I5=L5),"Pass","Fail")</f>
        <v>Pass</v>
      </c>
    </row>
    <row r="6" customFormat="false" ht="15" hidden="false" customHeight="false" outlineLevel="0" collapsed="false">
      <c r="A6" s="2" t="s">
        <v>30</v>
      </c>
      <c r="B6" s="2" t="s">
        <v>14</v>
      </c>
      <c r="C6" s="2" t="s">
        <v>31</v>
      </c>
      <c r="D6" s="2" t="s">
        <v>32</v>
      </c>
      <c r="E6" s="2" t="n">
        <v>2</v>
      </c>
      <c r="F6" s="2" t="s">
        <v>17</v>
      </c>
      <c r="G6" s="2" t="s">
        <v>33</v>
      </c>
      <c r="H6" s="2" t="n">
        <v>2</v>
      </c>
      <c r="I6" s="2" t="s">
        <v>19</v>
      </c>
      <c r="J6" s="2" t="s">
        <v>33</v>
      </c>
      <c r="K6" s="2" t="n">
        <v>2</v>
      </c>
      <c r="L6" s="2" t="s">
        <v>19</v>
      </c>
      <c r="M6" s="2" t="str">
        <f aca="false">IF(AND(G6=J6,H6=K6,I6=L6),"Pass","Fail")</f>
        <v>Pass</v>
      </c>
    </row>
    <row r="7" customFormat="false" ht="15" hidden="false" customHeight="false" outlineLevel="0" collapsed="false">
      <c r="A7" s="2" t="s">
        <v>34</v>
      </c>
      <c r="B7" s="2" t="s">
        <v>14</v>
      </c>
      <c r="C7" s="2" t="s">
        <v>35</v>
      </c>
      <c r="D7" s="2" t="s">
        <v>36</v>
      </c>
      <c r="E7" s="2" t="n">
        <v>2</v>
      </c>
      <c r="F7" s="2" t="s">
        <v>17</v>
      </c>
      <c r="G7" s="2" t="s">
        <v>37</v>
      </c>
      <c r="H7" s="2" t="n">
        <v>1</v>
      </c>
      <c r="I7" s="2" t="s">
        <v>38</v>
      </c>
      <c r="J7" s="2" t="s">
        <v>37</v>
      </c>
      <c r="K7" s="2" t="n">
        <v>1</v>
      </c>
      <c r="L7" s="2" t="s">
        <v>38</v>
      </c>
      <c r="M7" s="2" t="str">
        <f aca="false">IF(AND(G7=J7,H7=K7,I7=L7),"Pass","Fail")</f>
        <v>Pass</v>
      </c>
    </row>
    <row r="8" customFormat="false" ht="15" hidden="false" customHeight="false" outlineLevel="0" collapsed="false">
      <c r="A8" s="2" t="s">
        <v>39</v>
      </c>
      <c r="B8" s="2" t="s">
        <v>14</v>
      </c>
      <c r="C8" s="2" t="s">
        <v>40</v>
      </c>
      <c r="D8" s="2" t="s">
        <v>41</v>
      </c>
      <c r="E8" s="2" t="n">
        <v>0</v>
      </c>
      <c r="F8" s="2" t="s">
        <v>17</v>
      </c>
      <c r="G8" s="2" t="s">
        <v>42</v>
      </c>
      <c r="H8" s="2" t="n">
        <v>0</v>
      </c>
      <c r="I8" s="2" t="s">
        <v>43</v>
      </c>
      <c r="J8" s="2" t="s">
        <v>42</v>
      </c>
      <c r="K8" s="2" t="n">
        <v>0</v>
      </c>
      <c r="L8" s="2" t="s">
        <v>43</v>
      </c>
      <c r="M8" s="2" t="str">
        <f aca="false">IF(AND(G8=J8,H8=K8,I8=L8),"Pass","Fail")</f>
        <v>Pass</v>
      </c>
    </row>
    <row r="9" customFormat="false" ht="15" hidden="false" customHeight="false" outlineLevel="0" collapsed="false">
      <c r="A9" s="2" t="s">
        <v>44</v>
      </c>
      <c r="B9" s="2" t="s">
        <v>14</v>
      </c>
      <c r="C9" s="2" t="s">
        <v>45</v>
      </c>
      <c r="D9" s="2" t="s">
        <v>46</v>
      </c>
      <c r="E9" s="2" t="n">
        <v>3</v>
      </c>
      <c r="F9" s="2" t="s">
        <v>17</v>
      </c>
      <c r="G9" s="2" t="s">
        <v>47</v>
      </c>
      <c r="H9" s="2" t="n">
        <v>2</v>
      </c>
      <c r="I9" s="2" t="s">
        <v>19</v>
      </c>
      <c r="J9" s="2" t="s">
        <v>47</v>
      </c>
      <c r="K9" s="2" t="n">
        <v>2</v>
      </c>
      <c r="L9" s="2" t="s">
        <v>19</v>
      </c>
      <c r="M9" s="2" t="str">
        <f aca="false">IF(AND(G9=J9,H9=K9,I9=L9),"Pass","Fail")</f>
        <v>Pass</v>
      </c>
    </row>
    <row r="10" customFormat="false" ht="15" hidden="false" customHeight="false" outlineLevel="0" collapsed="false">
      <c r="A10" s="2" t="s">
        <v>48</v>
      </c>
      <c r="B10" s="2" t="s">
        <v>14</v>
      </c>
      <c r="C10" s="2" t="s">
        <v>49</v>
      </c>
      <c r="D10" s="2" t="s">
        <v>50</v>
      </c>
      <c r="E10" s="2" t="n">
        <v>2</v>
      </c>
      <c r="F10" s="2" t="s">
        <v>17</v>
      </c>
      <c r="G10" s="2" t="s">
        <v>42</v>
      </c>
      <c r="H10" s="2" t="n">
        <v>0</v>
      </c>
      <c r="I10" s="2" t="s">
        <v>38</v>
      </c>
      <c r="J10" s="2" t="s">
        <v>42</v>
      </c>
      <c r="K10" s="2" t="n">
        <v>0</v>
      </c>
      <c r="L10" s="2" t="s">
        <v>38</v>
      </c>
      <c r="M10" s="2" t="str">
        <f aca="false">IF(AND(G10=J10,H10=K10,I10=L10),"Pass","Fail")</f>
        <v>Pass</v>
      </c>
    </row>
    <row r="11" customFormat="false" ht="15" hidden="false" customHeight="false" outlineLevel="0" collapsed="false">
      <c r="A11" s="2" t="s">
        <v>51</v>
      </c>
      <c r="B11" s="2" t="s">
        <v>14</v>
      </c>
      <c r="C11" s="2" t="s">
        <v>52</v>
      </c>
      <c r="D11" s="2" t="s">
        <v>53</v>
      </c>
      <c r="E11" s="2" t="n">
        <v>2</v>
      </c>
      <c r="F11" s="2" t="s">
        <v>17</v>
      </c>
      <c r="G11" s="2" t="s">
        <v>37</v>
      </c>
      <c r="H11" s="2" t="n">
        <v>1</v>
      </c>
      <c r="I11" s="2" t="s">
        <v>38</v>
      </c>
      <c r="J11" s="2" t="s">
        <v>37</v>
      </c>
      <c r="K11" s="2" t="n">
        <v>1</v>
      </c>
      <c r="L11" s="2" t="s">
        <v>38</v>
      </c>
      <c r="M11" s="2" t="str">
        <f aca="false">IF(AND(G11=J11,H11=K11,I11=L11),"Pass","Fail")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3" t="s">
        <v>54</v>
      </c>
    </row>
    <row r="3" customFormat="false" ht="15" hidden="false" customHeight="false" outlineLevel="0" collapsed="false">
      <c r="A3" s="4" t="s">
        <v>55</v>
      </c>
      <c r="B3" s="5" t="n">
        <f aca="false">COUNTA('Test Cases'!A2:A11)</f>
        <v>10</v>
      </c>
    </row>
    <row r="4" customFormat="false" ht="15" hidden="false" customHeight="false" outlineLevel="0" collapsed="false">
      <c r="A4" s="4" t="s">
        <v>56</v>
      </c>
      <c r="B4" s="5" t="n">
        <f aca="false">COUNTIF('Test Cases'!M2:M11,"Pass")</f>
        <v>10</v>
      </c>
    </row>
    <row r="5" customFormat="false" ht="15" hidden="false" customHeight="false" outlineLevel="0" collapsed="false">
      <c r="A5" s="4" t="s">
        <v>57</v>
      </c>
      <c r="B5" s="5" t="n">
        <f aca="false">COUNTIF('Test Cases'!M2:M11,"Fail")</f>
        <v>0</v>
      </c>
    </row>
    <row r="6" customFormat="false" ht="15" hidden="false" customHeight="false" outlineLevel="0" collapsed="false">
      <c r="A6" s="4" t="s">
        <v>58</v>
      </c>
      <c r="B6" s="6" t="n">
        <f aca="false">IF(B3=0,0,B4/B3)</f>
        <v>1</v>
      </c>
    </row>
    <row r="8" customFormat="false" ht="15" hidden="false" customHeight="false" outlineLevel="0" collapsed="false">
      <c r="A8" s="7" t="s">
        <v>59</v>
      </c>
    </row>
    <row r="9" customFormat="false" ht="15" hidden="false" customHeight="false" outlineLevel="0" collapsed="false">
      <c r="A9" s="7" t="s">
        <v>60</v>
      </c>
    </row>
    <row r="10" customFormat="false" ht="15" hidden="false" customHeight="false" outlineLevel="0" collapsed="false">
      <c r="A10" s="7" t="s">
        <v>61</v>
      </c>
    </row>
    <row r="11" customFormat="false" ht="15" hidden="false" customHeight="false" outlineLevel="0" collapsed="false">
      <c r="A11" s="7" t="s">
        <v>62</v>
      </c>
    </row>
    <row r="12" customFormat="false" ht="15" hidden="false" customHeight="false" outlineLevel="0" collapsed="false">
      <c r="A12" s="7" t="s">
        <v>63</v>
      </c>
    </row>
    <row r="13" customFormat="false" ht="15" hidden="false" customHeight="false" outlineLevel="0" collapsed="false">
      <c r="A13" s="7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2026-10-22T06:24:21Z</dcterms:created>
  <dc:creator>openpyxl</dc:creator>
  <dc:description/>
  <dc:language>en-US</dc:language>
  <cp:lastModifiedBy/>
  <dcterms:modified xsi:type="dcterms:W3CDTF">2026-10-22T06:24:21Z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